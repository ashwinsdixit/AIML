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haleon-my.sharepoint.com/personal/ashwin_x_s_haleon_com/Documents/AIML/AIML GIT/AIML/Assignment/"/>
    </mc:Choice>
  </mc:AlternateContent>
  <xr:revisionPtr revIDLastSave="38" documentId="8_{0DA5A034-BDF8-421B-B299-A374C34B1A76}" xr6:coauthVersionLast="47" xr6:coauthVersionMax="47" xr10:uidLastSave="{D9929871-D345-4788-A7B6-16D20A21ECAC}"/>
  <bookViews>
    <workbookView xWindow="28680" yWindow="-120" windowWidth="29040" windowHeight="15720" tabRatio="500" activeTab="1" xr2:uid="{00000000-000D-0000-FFFF-FFFF00000000}"/>
  </bookViews>
  <sheets>
    <sheet name="Grader Rubric " sheetId="2" r:id="rId1"/>
    <sheet name="Sheet1" sheetId="3" r:id="rId2"/>
    <sheet name="Grader Rubric V1" sheetId="1" state="hidden"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15" i="3" l="1"/>
  <c r="F15" i="3"/>
  <c r="F8" i="3"/>
  <c r="E43" i="2"/>
  <c r="E47" i="1"/>
</calcChain>
</file>

<file path=xl/sharedStrings.xml><?xml version="1.0" encoding="utf-8"?>
<sst xmlns="http://schemas.openxmlformats.org/spreadsheetml/2006/main" count="285" uniqueCount="233">
  <si>
    <t>Binary (Breast Cancer) + Multiclass (Wine) | Practice Exercise | Indicative Marks: 100</t>
  </si>
  <si>
    <t>PURPOSE: This rubric is designed for LLM-based automated grading. Each row maps to one notebook section. The 'Code Signals' column specifies exact tokens to look for. The 'Accepted Alternatives' are noted where valid implementation variants exist. DEPENDENCY RULE: If the student uses scoring='accuracy' instead of scoring='recall' in Part 1, cap Stages 5-6 at 50% of available marks unless the student explicitly acknowledges and corrects for this. CASCADING NOTE: If target is not remapped in Stage 1, flag all Part 1 recall values as potentially inverted — do not double-penalise.</t>
  </si>
  <si>
    <t>Section (L1)</t>
  </si>
  <si>
    <t>Sub-Section (L2)</t>
  </si>
  <si>
    <t>Evaluation Checkpoint (L3)</t>
  </si>
  <si>
    <t>Notebook Reference</t>
  </si>
  <si>
    <t>Max
Marks</t>
  </si>
  <si>
    <t>Grading Criteria (for LLM Grader)</t>
  </si>
  <si>
    <t>Code Signals &amp; Accepted Alternatives</t>
  </si>
  <si>
    <t>PART 1:
Binary Classification, Breast Cancer Prediction</t>
  </si>
  <si>
    <t>Load Dataset &amp;
Remap Target</t>
  </si>
  <si>
    <t>Verify: Dataset loaded, DataFrame created, target remapped</t>
  </si>
  <si>
    <t>§P1-Stage 1
Load breast cancer, DataFrame, y = 1 - target</t>
  </si>
  <si>
    <t>→ 3: load_breast_cancer() called, DataFrame created with column names, y remapped so malignant=1 (y = 1 - data.target or equivalent).
→ 2: Dataset loaded and DataFrame created, but target NOT remapped.
→ 1: Dataset loaded but not converted to DataFrame.
→ 0: Not attempted.
⚠ CASCADING: If target not remapped, all downstream recall values measure benign class. Flag this in subsequent checkpoints but do NOT deduct again.</t>
  </si>
  <si>
    <t>REQUIRED: load_breast_cancer(), pd.DataFrame(data.data, columns=data.feature_names)
REQUIRED for full marks: y = 1 - data.target (or equivalent remapping)
ACCEPT: Any logic that maps malignant→1, benign→0</t>
  </si>
  <si>
    <t>Data Understanding</t>
  </si>
  <si>
    <t>Verify: Basic inspection (head, shape, dtypes, nulls)</t>
  </si>
  <si>
    <t>§P1-Stage 2.1
head(), shape, info/dtypes, isnull</t>
  </si>
  <si>
    <t>→ 2: At least 3 of head/shape/dtypes(or info)/isnull present.
→ 1: Only 1-2 inspection steps.
→ 0: No inspection.</t>
  </si>
  <si>
    <t>LOOK FOR: df.head(), df.shape, df.info() or df.dtypes, df.isnull().sum()
ACCEPT: df.info() covers both dtypes and nulls — counts as 2 steps</t>
  </si>
  <si>
    <t>Verify: Summary statistics generated</t>
  </si>
  <si>
    <t>§P1-Stage 2.2
describe()</t>
  </si>
  <si>
    <t>→ 2: describe() or equivalent shown, revealing scale differences.
→ 1: Partial stats (e.g., only mean/std for a few columns).
→ 0: No summary statistics.</t>
  </si>
  <si>
    <t>LOOK FOR: df.describe(), X.describe()</t>
  </si>
  <si>
    <t>Verify: Class distribution checked &amp; visualised</t>
  </si>
  <si>
    <t>§P1-Stage 2.3
value_counts + bar plot</t>
  </si>
  <si>
    <t>→ 2: value_counts() printed AND bar plot with labels.
→ 1: Only one of value_counts or plot present.
→ 0: Neither.</t>
  </si>
  <si>
    <t>LOOK FOR: y.value_counts(), sns.countplot / plt.bar
ACCEPT: pd.Series(y).value_counts()</t>
  </si>
  <si>
    <t>Verify: Feature distributions plotted</t>
  </si>
  <si>
    <t>§P1-Stage 2.4
Histograms/boxplots for 4-6 features</t>
  </si>
  <si>
    <t>→ 2: Plots for ≥4 features (histograms, boxplots, or KDE).
→ 1: Fewer than 4 features or plots lack labels.
→ 0: No distribution plots.</t>
  </si>
  <si>
    <t>LOOK FOR: sns.histplot, plt.hist, sns.boxplot, sns.kdeplot
BONUS (no extra marks): hue parameter used to show class separation</t>
  </si>
  <si>
    <t>Interpretation
(self-review)</t>
  </si>
  <si>
    <t>Flag: EDA + leakage interpretation answers</t>
  </si>
  <si>
    <t>§P1-Stage 2 Interpretation
4 questions incl. leakage</t>
  </si>
  <si>
    <t>NOT SCORED. Flag for learner self-review.
Good answers should mention:
  Q1: Class imbalance and its effect on training
  Q2: Scale differences → need for scaling for KNN/SVM
  Q3: False negatives are clinically dangerous → recall &gt; accuracy
  Q4: Fitting scaler on full data leaks test statistics into training</t>
  </si>
  <si>
    <t>Check markdown cell is edited (not '...'). No code check needed.</t>
  </si>
  <si>
    <t>Preprocessing</t>
  </si>
  <si>
    <t>Verify: Missing value check</t>
  </si>
  <si>
    <t>§P1-Stage 3.1
isnull().sum()</t>
  </si>
  <si>
    <t>→ 1: Missing value check present.
→ 0: No check.</t>
  </si>
  <si>
    <t>LOOK FOR: .isnull().sum(), .isna().sum(), .info()</t>
  </si>
  <si>
    <t>Verify: Stratified train-test split</t>
  </si>
  <si>
    <t>§P1-Stage 3.2
train_test_split, stratify=y, random_state=42</t>
  </si>
  <si>
    <t>→ 2: train_test_split with test_size≈0.3, stratify=y, random_state=42.
→ 1: Split done but missing stratify OR wrong random_state.
→ 0: No split.</t>
  </si>
  <si>
    <t>REQUIRED: train_test_split(..., stratify=y, random_state=42)
ACCEPT: test_size=0.3 or 0.30</t>
  </si>
  <si>
    <t>Verify: Feature scaling without leakage</t>
  </si>
  <si>
    <t>§P1-Stage 3.3
StandardScaler fit on train only</t>
  </si>
  <si>
    <t>→ 2: Scaler fit on X_train only, then transform on both train and test.
→ 1: Scaling applied but with leakage (fit on full data) or non-standard scaler.
→ 0: No scaling.
Note: MinMaxScaler or RobustScaler are valid choices — award 2 if no leakage.</t>
  </si>
  <si>
    <t>REQUIRED: scaler.fit_transform(X_train) + scaler.transform(X_test)
RED FLAG: fit_transform(X) on full data, or fit_transform(X_test)
ACCEPT: StandardScaler, MinMaxScaler, RobustScaler — all valid if no leakage</t>
  </si>
  <si>
    <t>Verify: Shapes and distributions confirmed</t>
  </si>
  <si>
    <t>§P1-Stage 3.4
Print shapes + class dist</t>
  </si>
  <si>
    <t>→ 2: Shapes for all 4 objects AND class distribution in both y_train, y_test.
→ 1: Only shapes or only distributions.
→ 0: No verification.</t>
  </si>
  <si>
    <t>.shape on X_train/X_test/y_train/y_test, value_counts() on y_train and y_test</t>
  </si>
  <si>
    <t>Model Training:
Logistic Regression</t>
  </si>
  <si>
    <t>Verify: LR trained with GridSearchCV (recall)</t>
  </si>
  <si>
    <t>§P1-Stage 4.1
GridSearchCV, scoring=recall</t>
  </si>
  <si>
    <t>→ 5: GridSearchCV with LR(class_weight='balanced', random_state=42, max_iter=10000), param_grid includes C, scoring='recall', cv=5. Best params printed. Evaluation shown.
→ 3: Model trained but: missing class_weight, OR wrong scoring metric (see note), OR evaluation incomplete.
→ 1: Model instantiated but not trained or not evaluated.
→ 0: Not attempted.
SCORING METRIC NOTE: If scoring='accuracy' used instead of scoring='recall', award max 3 for this row. Student optimised wrong objective.</t>
  </si>
  <si>
    <t>REQUIRED: LogisticRegression(...), GridSearchCV(..., scoring='recall', cv=5)
LOOK FOR: .best_params_, confusion_matrix(), classification_report() or evaluate_model()
ACCEPT: Pipeline wrapping scaler + LR</t>
  </si>
  <si>
    <t>Model Training:
KNN</t>
  </si>
  <si>
    <t>Verify: KNN trained with GridSearchCV (recall)</t>
  </si>
  <si>
    <t>§P1-Stage 4.2
n_neighbors + weights</t>
  </si>
  <si>
    <t>→ 6: GridSearchCV with KNN, param_grid includes n_neighbors AND weights, scoring='recall', cv=5. Best params printed. Evaluation shown.
→ 4: GridSearchCV but only one hyperparameter, OR wrong scoring, OR incomplete eval.
→ 2: KNN trained with hardcoded params, no GridSearchCV.
→ 0: Not attempted.</t>
  </si>
  <si>
    <t>REQUIRED: KNeighborsClassifier(), param_grid with n_neighbors and weights
LOOK FOR: GridSearchCV(..., scoring='recall', cv=5), evaluate_model() or equivalent</t>
  </si>
  <si>
    <t>Model Training:
Decision Tree</t>
  </si>
  <si>
    <t>Verify: DT trained with GridSearchCV (recall)</t>
  </si>
  <si>
    <t>§P1-Stage 4.3
max_depth, min_samples_split, min_samples_leaf</t>
  </si>
  <si>
    <t>→ 6: GridSearchCV with DT(class_weight='balanced', random_state=42), ≥3 hyperparameters tuned, scoring='recall', cv=5. Best params + eval shown.
→ 4: GridSearchCV but &lt;3 hyperparameters, OR wrong scoring, OR incomplete eval.
→ 2: DT trained with no GridSearchCV.
→ 0: Not attempted.</t>
  </si>
  <si>
    <t>REQUIRED: DecisionTreeClassifier(class_weight='balanced', random_state=42)
param_grid with max_depth, min_samples_split, min_samples_leaf</t>
  </si>
  <si>
    <t>Model Training:
SVM</t>
  </si>
  <si>
    <t>Verify: SVM trained with GridSearchCV (recall)</t>
  </si>
  <si>
    <t>§P1-Stage 4.4
C, kernel (linear+rbf), gamma</t>
  </si>
  <si>
    <t>REQUIRED: SVC(..., probability=True), kernel: ['linear', 'rbf']
ACCEPT: Pipeline wrapping scaler + SVC</t>
  </si>
  <si>
    <t>Model Comparison</t>
  </si>
  <si>
    <t>Verify: Comparison table with 4 models</t>
  </si>
  <si>
    <t>§P1-Stage 5.1
DataFrame: Accuracy, Recall, Precision, F1, FN</t>
  </si>
  <si>
    <t>→ 3: DataFrame with all 4 models, ≥4 metrics including Recall and False Negatives.
→ 2: Table exists but missing models or metrics.
→ 0: No comparison table.</t>
  </si>
  <si>
    <t>pd.DataFrame with 4 rows. Columns include Recall and False_Negatives.
ACCEPT: Any tabular format (dict, list of dicts, manual print) — not just pd.DataFrame</t>
  </si>
  <si>
    <t>Verify: Comparison bar chart</t>
  </si>
  <si>
    <t>§P1-Stage 5.2
Grouped bar chart</t>
  </si>
  <si>
    <t>→ 2: Bar chart comparing Recall and Precision for all 4 models with labels.
→ 1: Chart exists but only one metric or missing labels.
→ 0: No chart.</t>
  </si>
  <si>
    <t>plt.bar, df.plot.bar, sns.barplot with model names on x-axis</t>
  </si>
  <si>
    <t>Verify: CV stability for all 4 models</t>
  </si>
  <si>
    <t>§P1-Stage 5.3
cross_val_score, scoring=recall</t>
  </si>
  <si>
    <t>→ 2: cross_val_score for all 4 models, scoring='recall', mean AND std printed.
→ 1: CV for &lt;4 models, OR std not reported, OR cv≠5.
→ 0: No CV analysis.</t>
  </si>
  <si>
    <t>cross_val_score(..., scoring='recall', cv=5), .mean(), .std()
DEDUCT to 1 if cv=3 instead of cv=5</t>
  </si>
  <si>
    <t>Feature Importance</t>
  </si>
  <si>
    <t>Verify: Feature importance extracted and plotted</t>
  </si>
  <si>
    <t>§P1-Stage 5.4
Top 10 features bar chart</t>
  </si>
  <si>
    <t>→ 2: Feature importances (DT) or coefficients (LR) extracted AND top 10 plotted.
→ 1: Importances extracted but not plotted, or plotted but not top 10.
→ 0: Not attempted.</t>
  </si>
  <si>
    <t>LOOK FOR: .feature_importances_ or .coef_[0], bar/barh plot
ACCEPT: Any interpretable model's feature ranking</t>
  </si>
  <si>
    <t>Final Selection</t>
  </si>
  <si>
    <t>Verify: Threshold tuning on validation split</t>
  </si>
  <si>
    <t>§P1-Stage 6.1
Validation split, precision-recall curve</t>
  </si>
  <si>
    <t>→ 2: Validation split created from training data, predict_proba on val set, precision-recall curve plotted, threshold for recall≥0.95 identified.
→ 1: PR curve plotted but on test set (leakage) or no threshold identified.
→ 0: Not attempted.
RED FLAG: If threshold tuning done directly on test set, award max 1.</t>
  </si>
  <si>
    <t>REQUIRED: train_test_split to create val from training, predict_proba on val
LOOK FOR: precision_recall_curve(), threshold value printed
ACCEPT: decision_function() instead of predict_proba()
RED FLAG: predict_proba(X_test_scaled) used for threshold selection</t>
  </si>
  <si>
    <t>Verify: Final recommendation (3 sub-checks)</t>
  </si>
  <si>
    <t>§P1-Stage 6.2
Written recommendation</t>
  </si>
  <si>
    <t>Award 1 mark per sub-check (max 3):
  ☐ Names a specific model AND cites at least one numeric metric from their results
  ☐ States the false negative count from their test confusion matrix
  ☐ Identifies a specific limitation (not generic 'need more data')
→ 0: Section left blank ('...').</t>
  </si>
  <si>
    <t>Markdown cell must be edited (not '...').
LOOK FOR: model name + numeric value, FN count, specific limitation
REJECT as generic: 'collect more data', 'try more models', 'tune better'</t>
  </si>
  <si>
    <t>PART 2:
Multiclass Classification, Wine Dataset</t>
  </si>
  <si>
    <t>Load Wine Dataset</t>
  </si>
  <si>
    <t>Verify: Wine dataset loaded, MLPClassifier imported</t>
  </si>
  <si>
    <t>§P2-Stage 1
load_wine, DataFrame, MLPClassifier</t>
  </si>
  <si>
    <t>→ 2: load_wine() called, DataFrame with column names, X/y separated, MLPClassifier imported.
→ 1: Dataset loaded but missing DataFrame or MLPClassifier.
→ 0: Not attempted.</t>
  </si>
  <si>
    <t>load_wine(), pd.DataFrame(...), from sklearn.neural_network import MLPClassifier</t>
  </si>
  <si>
    <t>Verify: Basic inspection</t>
  </si>
  <si>
    <t>§P2-Stage 2.1
shape, head, dtypes, nulls</t>
  </si>
  <si>
    <t>→ 2: ≥3 of head/shape/dtypes/isnull/info.
→ 1: 1-2 steps.
→ 0: None.</t>
  </si>
  <si>
    <t>.head(), .shape, .info(), .isnull().sum()</t>
  </si>
  <si>
    <t>§P2-Stage 2.2
value_counts + bar plot</t>
  </si>
  <si>
    <t>→ 2: value_counts AND bar plot for all 3 classes.
→ 1: Only one present.
→ 0: Neither.</t>
  </si>
  <si>
    <t>value_counts(), sns.countplot or plt.bar with 3 bars</t>
  </si>
  <si>
    <t>Verify: Feature analysis + correlation heatmap</t>
  </si>
  <si>
    <t>§P2-Stage 2.3
describe() + heatmap</t>
  </si>
  <si>
    <t>→ 2: describe() shown AND correlation heatmap plotted.
→ 1: Only one present.
→ 0: Neither.</t>
  </si>
  <si>
    <t>.describe(), .corr(), sns.heatmap()
ACCEPT: heatmap with or without annot=True</t>
  </si>
  <si>
    <t>Flag: Wine EDA interpretation</t>
  </si>
  <si>
    <t>§P2-Stage 2 Interpretation
2 questions</t>
  </si>
  <si>
    <t>NOT SCORED. Flag if answers are blank.
Good answers: Q1 mentions class balance. Q2 mentions scale differences → scaling needed.</t>
  </si>
  <si>
    <t>Markdown cell not '...'</t>
  </si>
  <si>
    <t>Verify: Split + scaling without leakage</t>
  </si>
  <si>
    <t>§P2-Stage 3.1
Stratified split + scaler</t>
  </si>
  <si>
    <t>→ 2: Stratified split (random_state=42) AND scaler fit on train only.
→ 1: Split or scaling done but with leakage or missing stratify.
→ 0: Neither.</t>
  </si>
  <si>
    <t>train_test_split(..., stratify=y, random_state=42)
scaler.fit_transform(X_train), scaler.transform(X_test)
ACCEPT: StandardScaler, MinMaxScaler, RobustScaler</t>
  </si>
  <si>
    <t>Verify: Shapes + distributions confirmed</t>
  </si>
  <si>
    <t>§P2-Stage 3.2</t>
  </si>
  <si>
    <t>→ 2: Shapes + class dist for both splits.
→ 1: Only one.
→ 0: None.</t>
  </si>
  <si>
    <t>.shape, value_counts()</t>
  </si>
  <si>
    <t>Verify: LR with GridSearchCV (f1_macro)</t>
  </si>
  <si>
    <t>§P2-Stage 4.1</t>
  </si>
  <si>
    <t>→ 3: GridSearchCV with LR(random_state=42, max_iter=10000), C tuned, scoring='f1_macro', cv=5. Best params + eval shown.
→ 2: Trained but incomplete tuning or wrong scoring.
→ 0: Not attempted.
Note: Do NOT require multi_class='multinomial' — deprecated in sklearn ≥1.5. Accept any valid solver.</t>
  </si>
  <si>
    <t>LogisticRegression(random_state=42, max_iter=10000)
DO NOT REQUIRE: multi_class='multinomial' (deprecated)
ACCEPT: any solver that works for multiclass</t>
  </si>
  <si>
    <t>Verify: KNN with GridSearchCV (f1_macro)</t>
  </si>
  <si>
    <t>§P2-Stage 4.2</t>
  </si>
  <si>
    <t>→ 3: GridSearchCV with n_neighbors + weights, scoring='f1_macro'. Eval shown.
→ 2: Trained but incomplete tuning or evaluation.
→ 0: Not attempted.</t>
  </si>
  <si>
    <t>KNeighborsClassifier(), param_grid with n_neighbors and weights</t>
  </si>
  <si>
    <t>Verify: DT with GridSearchCV (f1_macro)</t>
  </si>
  <si>
    <t>§P2-Stage 4.3</t>
  </si>
  <si>
    <t>→ 3: GridSearchCV with ≥3 hyperparameters, random_state=42, scoring='f1_macro'. Eval shown.
→ 2: Fewer hyperparameters or incomplete eval.
→ 0: Not attempted.</t>
  </si>
  <si>
    <t>DecisionTreeClassifier(random_state=42), max_depth, min_samples_split, min_samples_leaf</t>
  </si>
  <si>
    <t>Verify: SVM with GridSearchCV (f1_macro)</t>
  </si>
  <si>
    <t>§P2-Stage 4.4</t>
  </si>
  <si>
    <t>→ 3: GridSearchCV with C, kernel (linear+rbf), gamma, random_state=42, scoring='f1_macro'. Eval shown.
→ 2: Only one kernel or incomplete eval.
→ 0: Not attempted.</t>
  </si>
  <si>
    <t>SVC(random_state=42), kernel: ['linear', 'rbf']</t>
  </si>
  <si>
    <t>Model Training:
MLP</t>
  </si>
  <si>
    <t>Verify: MLP with GridSearchCV (f1_macro)</t>
  </si>
  <si>
    <t>§P2-Stage 4.5
Architecture search + regularisation</t>
  </si>
  <si>
    <t>→ 8: GridSearchCV with MLPClassifier(random_state=42, early_stopping=True, max_iter=2000), param_grid has hidden_layer_sizes (≥3 configs), activation, alpha. scoring='f1_macro', cv=5. Best params + eval shown.
→ 5: GridSearchCV but limited grid (&lt;3 architectures) or missing alpha/activation.
→ 2: MLP trained with hardcoded config.
→ 0: Not attempted.</t>
  </si>
  <si>
    <t>MLPClassifier(random_state=42, early_stopping=True, max_iter=2000)
param_grid: hidden_layer_sizes (list of tuples), activation, alpha</t>
  </si>
  <si>
    <t>Flag: MLP interpretation</t>
  </si>
  <si>
    <t>§P2-Stage 4.5 Interpretation
3 questions</t>
  </si>
  <si>
    <t>NOT SCORED. Flag if blank.
Good answers: names architecture, compares to classical F1, explains alpha role.</t>
  </si>
  <si>
    <t>Verify: Comparison table (5 models)</t>
  </si>
  <si>
    <t>§P2-Stage 5.1
Accuracy, Macro-P, Macro-R, Macro-F1</t>
  </si>
  <si>
    <t>→ 3: DataFrame with 5 models, ≥4 metrics including macro-F1.
→ 2: Table but missing models or metrics.
→ 0: None.</t>
  </si>
  <si>
    <t>pd.DataFrame with 5 rows, f1_score(..., average='macro')
ACCEPT: any tabular format</t>
  </si>
  <si>
    <t>Verify: Macro-F1 bar chart</t>
  </si>
  <si>
    <t>§P2-Stage 5.2</t>
  </si>
  <si>
    <t>→ 2: Bar chart with all 5 models, macro-F1 on y-axis, labels.
→ 1: Chart but missing models or labels.
→ 0: None.</t>
  </si>
  <si>
    <t>plt.bar or sns.barplot with 5 bars</t>
  </si>
  <si>
    <t>Verify: CV stability (5 models)</t>
  </si>
  <si>
    <t>§P2-Stage 5.3
cross_val_score, f1_macro</t>
  </si>
  <si>
    <t>→ 3: cross_val_score for all 5 models, scoring='f1_macro', mean ± std.
→ 2: 3-4 models.
→ 1: 1-2 models.
→ 0: None.</t>
  </si>
  <si>
    <t>cross_val_score(..., scoring='f1_macro', cv=5)
DEDUCT to next tier if cv≠5</t>
  </si>
  <si>
    <t>Flag: Classical vs Neural comparison</t>
  </si>
  <si>
    <t>§P2-Stage 5 Interpretation
3 questions</t>
  </si>
  <si>
    <t>NOT SCORED. Flag if blank.
Good answers: names best classical with F1, compares MLP margin, discusses interpretability.</t>
  </si>
  <si>
    <t>Final
Recommendation</t>
  </si>
  <si>
    <t>Verify: Written recommendation (3 sub-checks)</t>
  </si>
  <si>
    <t>§P2-Stage 6.1
Best classical, best overall, interpretability</t>
  </si>
  <si>
    <t>Award 1 mark per sub-check (max 3):
  ☐ Names best classical model with specific macro-F1 value from results
  ☐ Names best overall model with performance vs interpretability reasoning
  ☐ Answers winemaker question — recommends interpretable model with justification
→ 0: Section blank.</t>
  </si>
  <si>
    <t>Markdown edited. LOOK FOR: model name + numeric F1, interpretability reasoning
REJECT: answers that do not cite numbers from student's own results</t>
  </si>
  <si>
    <t>Verify: Overfitting study (3 DT variants)</t>
  </si>
  <si>
    <t>§P2-Stage 6.2
max_depth=1, None, tuned</t>
  </si>
  <si>
    <t>→ 2: 3 DT variants trained, BOTH train and test accuracy for each, clear underfit/overfit/balanced pattern visible.
→ 1: &lt;3 variants or only test accuracy.
→ 0: Not attempted.</t>
  </si>
  <si>
    <t>DecisionTreeClassifier(max_depth=1), DecisionTreeClassifier(max_depth=None)
accuracy_score on BOTH train and test for each variant</t>
  </si>
  <si>
    <t>Flag: Underfitting vs overfitting reflection</t>
  </si>
  <si>
    <t>§P2-Stage 6.2 Interpretation
3 questions</t>
  </si>
  <si>
    <t>NOT SCORED. Flag if blank.
Good answers: identifies depth=1 as underfit, depth=None as overfit, explains train-test gap, describes tuned balance.</t>
  </si>
  <si>
    <t>TOTAL</t>
  </si>
  <si>
    <t>PART 1:
Data Loading</t>
  </si>
  <si>
    <t>→ 6: GridSearchCV with SVC(class_weight='balanced', random_state=42, probability=True), param_grid includes C, kernel (both linear+rbf), gamma. scoring='recall', cv=5. Eval shown.
→ 4: GridSearchCV but only one kernel, OR probability=True missing, OR wrong scoring.
→ 2: SVM trained with hardcoded config.
→ 0: Not attempted.
Note: probability=True is needed for Stage 6.1 threshold tuning. If missing, student cannot complete 6.1 — flag but do not double-penalise.</t>
  </si>
  <si>
    <t>PART 2:
Data Loading</t>
  </si>
  <si>
    <t>Load the breast cancer dataset, create a DataFrame, and remap the target variable (y = 1 − target) in P1-Stage 1</t>
  </si>
  <si>
    <t>Perform basic data inspection by checking head, shape, data types (info/dtypes), and null values (isnull) in P1–Stage 2.1</t>
  </si>
  <si>
    <t>Generate summary statistics using describe() in P1–Stage 2.2</t>
  </si>
  <si>
    <t>Check and visualise class distribution using value_counts() and a bar plot in P1–Stage 2.3</t>
  </si>
  <si>
    <t>Plot feature distributions using histograms and boxplots for 4–6 features in P1–Stage 2.4</t>
  </si>
  <si>
    <t>Complete EDA interpretation and leakage analysis by answering 4 questions including leakage insights in P1–Stage 2 Interpretation</t>
  </si>
  <si>
    <t>Check missing values using isnull().sum() in P1–Stage 3.1</t>
  </si>
  <si>
    <t>Apply feature scaling without leakage using StandardScaler fit on training data only in P1–Stage 3.3</t>
  </si>
  <si>
    <t>Perform stratified train-test split using train_test_split (stratify=y, random_state=42) in P1–Stage 3.2</t>
  </si>
  <si>
    <t>Confirm shapes and class distribution by printing shapes and class distribution in P1–Stage 3.4</t>
  </si>
  <si>
    <t>Train Logistic Regression using GridSearchCV with recall scoring in P1–Stage 4.1</t>
  </si>
  <si>
    <t>Train KNN using GridSearchCV with n_neighbors and weights tuned for recall in P1–Stage 4.2</t>
  </si>
  <si>
    <t>Train Decision Tree using GridSearchCV tuning max_depth, min_samples_split, min_samples_leaf for recall in P1–Stage 4.3</t>
  </si>
  <si>
    <t>Train SVM using GridSearchCV tuning C, kernel (linear/RBF), gamma for recall in P1–Stage 4.4</t>
  </si>
  <si>
    <t>Create comparison table for 4 models with Accuracy, Recall, Precision, F1, FN in P1–Stage 5.1</t>
  </si>
  <si>
    <t>Create comparison bar chart using grouped bar chart in P1–Stage 5.2</t>
  </si>
  <si>
    <t>Evaluate CV stability for all 4 models using cross_val_score with recall scoring in P1–Stage 5.3</t>
  </si>
  <si>
    <t>Extract and plot feature importance using top 10 features bar chart in P1–Stage 5.4</t>
  </si>
  <si>
    <t>Perform threshold tuning using validation split and precision-recall curve in P1–Stage 6.1</t>
  </si>
  <si>
    <t>Provide final recommendation with 3 sub-checks in written form in P1–Stage 6.2</t>
  </si>
  <si>
    <t>Load Wine dataset, create DataFrame, import MLPClassifier in P2–Stage 1</t>
  </si>
  <si>
    <t>Perform basic inspection using shape, head, dtypes, nulls in P2–Stage 2.1</t>
  </si>
  <si>
    <t>Check and visualize class distribution using value_counts and bar plot in P2–Stage 2.2</t>
  </si>
  <si>
    <t>Perform feature analysis and correlation heatmap using describe() and heatmap in P2–Stage 2.3</t>
  </si>
  <si>
    <t>Perform stratified split and scaling without leakage using scaler fit on training data only in P2–Stage 3.1</t>
  </si>
  <si>
    <t>Confirm shapes and distributions in P2–Stage 3.2</t>
  </si>
  <si>
    <t>Train Logistic Regression using GridSearchCV with f1_macro scoring in P2–Stage 4.1</t>
  </si>
  <si>
    <t>Train KNN using GridSearchCV with f1_macro scoring in P2–Stage 4.2</t>
  </si>
  <si>
    <t>Train Decision Tree using GridSearchCV with f1_macro scoring in P2–Stage 4.3</t>
  </si>
  <si>
    <t>Train SVM using GridSearchCV with f1_macro scoring in P2–Stage 4.4</t>
  </si>
  <si>
    <t>Train MLP using GridSearchCV with architecture search and regularisation, f1_macro scoring in P2–Stage 4.5</t>
  </si>
  <si>
    <t>MLP interpretation answer 3 questions in P2–Stage 4.5 Interpretation</t>
  </si>
  <si>
    <t>Wine EDA interpretation answer 2 questions in P2–Stage 2  Interpretation</t>
  </si>
  <si>
    <t>Create comparison table for 5 models with Accuracy, Macro Precision, Macro Recall, Macro F1 in P2–Stage 5.1</t>
  </si>
  <si>
    <t>Evaluate CV stability for 5 models using cross_val_score with f1_macro scoring in P2–Stage 5.3</t>
  </si>
  <si>
    <t>Create Macro-F1 bar chart in P2–Stage 5.2</t>
  </si>
  <si>
    <t>Classical vs Neural comparison answer 3 questions in P2–Stage 5 Interpretation</t>
  </si>
  <si>
    <t>Provide written recommendation with best classical, best overall, interpretability (3 sub-checks) in P2–Stage 6.1</t>
  </si>
  <si>
    <t>Perform overfitting study using 3 Decision Tree variants (max_depth=1, None, tuned) in P2–Stage 6.2</t>
  </si>
  <si>
    <t>Underfitting vs overfitting reflection answer 3 questions in P2–Stage 6.2 Interpretation</t>
  </si>
  <si>
    <t>feb</t>
  </si>
  <si>
    <t>basic</t>
  </si>
  <si>
    <t>House Rent Allowance</t>
  </si>
  <si>
    <t>Flexible Pay</t>
  </si>
  <si>
    <t>YTD</t>
  </si>
  <si>
    <t>Deductions</t>
  </si>
  <si>
    <t>pf</t>
  </si>
  <si>
    <t>tax</t>
  </si>
  <si>
    <t>april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</si>
</sst>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charset val="1"/>
    </font>
    <font>
      <b/>
      <sz val="14"/>
      <name val="Arial"/>
      <family val="2"/>
    </font>
    <font>
      <b/>
      <sz val="10"/>
      <color rgb="FF333333"/>
      <name val="Arial"/>
      <family val="2"/>
    </font>
    <font>
      <i/>
      <sz val="9"/>
      <color rgb="FF555555"/>
      <name val="Arial"/>
      <family val="2"/>
    </font>
    <font>
      <b/>
      <sz val="10"/>
      <color rgb="FFFFFFFF"/>
      <name val="Arial"/>
      <family val="2"/>
    </font>
    <font>
      <b/>
      <sz val="10"/>
      <color rgb="FF2F5496"/>
      <name val="Arial"/>
      <family val="2"/>
    </font>
    <font>
      <sz val="9"/>
      <name val="Arial"/>
      <family val="2"/>
    </font>
    <font>
      <b/>
      <sz val="10"/>
      <name val="Arial"/>
      <family val="2"/>
    </font>
    <font>
      <b/>
      <sz val="11"/>
      <name val="Arial"/>
      <family val="2"/>
    </font>
    <font>
      <b/>
      <sz val="12"/>
      <name val="Arial"/>
      <family val="2"/>
    </font>
  </fonts>
  <fills count="5">
    <fill>
      <patternFill patternType="none"/>
    </fill>
    <fill>
      <patternFill patternType="gray125"/>
    </fill>
    <fill>
      <patternFill patternType="solid">
        <fgColor rgb="FF2F5496"/>
        <bgColor rgb="FF555555"/>
      </patternFill>
    </fill>
    <fill>
      <patternFill patternType="solid">
        <fgColor rgb="FFD6E4F0"/>
        <bgColor rgb="FFCCFFFF"/>
      </patternFill>
    </fill>
    <fill>
      <patternFill patternType="solid">
        <fgColor rgb="FFFFF2CC"/>
        <bgColor rgb="FFFFFFFF"/>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22">
    <xf numFmtId="0" fontId="0" fillId="0" borderId="0" xfId="0"/>
    <xf numFmtId="0" fontId="4" fillId="2" borderId="1" xfId="0" applyFont="1" applyFill="1" applyBorder="1" applyAlignment="1">
      <alignment horizontal="center" vertical="top" wrapText="1"/>
    </xf>
    <xf numFmtId="0" fontId="5" fillId="3" borderId="1" xfId="0" applyFont="1" applyFill="1" applyBorder="1" applyAlignment="1">
      <alignment vertical="top" wrapText="1"/>
    </xf>
    <xf numFmtId="0" fontId="6" fillId="0" borderId="1" xfId="0" applyFont="1" applyBorder="1" applyAlignment="1">
      <alignment vertical="top" wrapText="1"/>
    </xf>
    <xf numFmtId="0" fontId="7" fillId="0" borderId="1" xfId="0" applyFont="1" applyBorder="1" applyAlignment="1">
      <alignment horizontal="center" vertical="top" wrapText="1"/>
    </xf>
    <xf numFmtId="0" fontId="6" fillId="4" borderId="1" xfId="0" applyFont="1" applyFill="1" applyBorder="1" applyAlignment="1">
      <alignment vertical="top" wrapText="1"/>
    </xf>
    <xf numFmtId="0" fontId="7" fillId="4" borderId="1" xfId="0" applyFont="1" applyFill="1" applyBorder="1" applyAlignment="1">
      <alignment horizontal="center" vertical="top" wrapText="1"/>
    </xf>
    <xf numFmtId="0" fontId="8" fillId="0" borderId="0" xfId="0" applyFont="1"/>
    <xf numFmtId="0" fontId="9" fillId="0" borderId="0" xfId="0" applyFont="1" applyAlignment="1">
      <alignment horizontal="center" vertical="top" wrapText="1"/>
    </xf>
    <xf numFmtId="0" fontId="6" fillId="4" borderId="2" xfId="0" applyFont="1" applyFill="1" applyBorder="1" applyAlignment="1">
      <alignment horizontal="left" vertical="top" wrapText="1"/>
    </xf>
    <xf numFmtId="0" fontId="6" fillId="4" borderId="3" xfId="0" applyFont="1" applyFill="1" applyBorder="1" applyAlignment="1">
      <alignment horizontal="left" vertical="top" wrapText="1"/>
    </xf>
    <xf numFmtId="0" fontId="6" fillId="0" borderId="2" xfId="0" applyFont="1" applyBorder="1" applyAlignment="1">
      <alignment horizontal="left" vertical="top" wrapText="1"/>
    </xf>
    <xf numFmtId="0" fontId="6" fillId="0" borderId="3" xfId="0" applyFont="1" applyBorder="1" applyAlignment="1">
      <alignment horizontal="left" vertical="top" wrapText="1"/>
    </xf>
    <xf numFmtId="0" fontId="6" fillId="0" borderId="2" xfId="0" applyFont="1" applyBorder="1" applyAlignment="1">
      <alignment vertical="top" wrapText="1"/>
    </xf>
    <xf numFmtId="0" fontId="6" fillId="0" borderId="3" xfId="0" applyFont="1" applyBorder="1" applyAlignment="1">
      <alignment vertical="top" wrapText="1"/>
    </xf>
    <xf numFmtId="0" fontId="4" fillId="2" borderId="2" xfId="0" applyFont="1" applyFill="1" applyBorder="1" applyAlignment="1">
      <alignment horizontal="center" vertical="top" wrapText="1"/>
    </xf>
    <xf numFmtId="0" fontId="4" fillId="2" borderId="3" xfId="0" applyFont="1" applyFill="1" applyBorder="1" applyAlignment="1">
      <alignment horizontal="center" vertical="top" wrapText="1"/>
    </xf>
    <xf numFmtId="0" fontId="1" fillId="0" borderId="0" xfId="0" applyFont="1"/>
    <xf numFmtId="0" fontId="2" fillId="0" borderId="0" xfId="0" applyFont="1"/>
    <xf numFmtId="0" fontId="3" fillId="0" borderId="0" xfId="0" applyFont="1" applyAlignment="1">
      <alignment vertical="top" wrapText="1"/>
    </xf>
    <xf numFmtId="4" fontId="0" fillId="0" borderId="0" xfId="0" applyNumberFormat="1"/>
    <xf numFmtId="3" fontId="0" fillId="0" borderId="0" xfId="0" applyNumberForma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2F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C5D0E-DAB4-4F84-BEED-1CE1CA9BB4CF}">
  <dimension ref="A1:E43"/>
  <sheetViews>
    <sheetView zoomScaleNormal="100" workbookViewId="0">
      <pane ySplit="1" topLeftCell="A15" activePane="bottomLeft" state="frozen"/>
      <selection pane="bottomLeft" activeCell="D42" sqref="D1:D1048576"/>
    </sheetView>
  </sheetViews>
  <sheetFormatPr defaultColWidth="8.6640625" defaultRowHeight="14.4" x14ac:dyDescent="0.3"/>
  <cols>
    <col min="1" max="2" width="22" customWidth="1"/>
    <col min="3" max="3" width="30" customWidth="1"/>
    <col min="4" max="4" width="38" customWidth="1"/>
    <col min="5" max="5" width="8" customWidth="1"/>
  </cols>
  <sheetData>
    <row r="1" spans="1:5" ht="26.4" x14ac:dyDescent="0.3">
      <c r="A1" s="1" t="s">
        <v>2</v>
      </c>
      <c r="B1" s="1" t="s">
        <v>3</v>
      </c>
      <c r="C1" s="15" t="s">
        <v>4</v>
      </c>
      <c r="D1" s="16"/>
      <c r="E1" s="1" t="s">
        <v>6</v>
      </c>
    </row>
    <row r="2" spans="1:5" ht="52.8" x14ac:dyDescent="0.3">
      <c r="A2" s="2" t="s">
        <v>9</v>
      </c>
      <c r="B2" s="3" t="s">
        <v>10</v>
      </c>
      <c r="C2" s="11" t="s">
        <v>184</v>
      </c>
      <c r="D2" s="12"/>
      <c r="E2" s="4">
        <v>3</v>
      </c>
    </row>
    <row r="3" spans="1:5" ht="24" customHeight="1" x14ac:dyDescent="0.3">
      <c r="A3" s="3"/>
      <c r="B3" s="3" t="s">
        <v>15</v>
      </c>
      <c r="C3" s="11" t="s">
        <v>185</v>
      </c>
      <c r="D3" s="12"/>
      <c r="E3" s="4">
        <v>2</v>
      </c>
    </row>
    <row r="4" spans="1:5" ht="24" customHeight="1" x14ac:dyDescent="0.3">
      <c r="A4" s="3"/>
      <c r="B4" s="3"/>
      <c r="C4" s="11" t="s">
        <v>186</v>
      </c>
      <c r="D4" s="12"/>
      <c r="E4" s="4">
        <v>2</v>
      </c>
    </row>
    <row r="5" spans="1:5" ht="24" customHeight="1" x14ac:dyDescent="0.3">
      <c r="A5" s="3"/>
      <c r="B5" s="3"/>
      <c r="C5" s="11" t="s">
        <v>187</v>
      </c>
      <c r="D5" s="12"/>
      <c r="E5" s="4">
        <v>2</v>
      </c>
    </row>
    <row r="6" spans="1:5" ht="24" customHeight="1" x14ac:dyDescent="0.3">
      <c r="A6" s="3"/>
      <c r="B6" s="3"/>
      <c r="C6" s="11" t="s">
        <v>188</v>
      </c>
      <c r="D6" s="12"/>
      <c r="E6" s="4">
        <v>2</v>
      </c>
    </row>
    <row r="7" spans="1:5" ht="22.8" x14ac:dyDescent="0.3">
      <c r="A7" s="5"/>
      <c r="B7" s="5" t="s">
        <v>32</v>
      </c>
      <c r="C7" s="9" t="s">
        <v>189</v>
      </c>
      <c r="D7" s="10"/>
      <c r="E7" s="6">
        <v>0</v>
      </c>
    </row>
    <row r="8" spans="1:5" ht="24" customHeight="1" x14ac:dyDescent="0.3">
      <c r="A8" s="3"/>
      <c r="B8" s="3" t="s">
        <v>37</v>
      </c>
      <c r="C8" s="11" t="s">
        <v>190</v>
      </c>
      <c r="D8" s="12"/>
      <c r="E8" s="4">
        <v>1</v>
      </c>
    </row>
    <row r="9" spans="1:5" ht="24" customHeight="1" x14ac:dyDescent="0.3">
      <c r="A9" s="3"/>
      <c r="B9" s="3"/>
      <c r="C9" s="11" t="s">
        <v>192</v>
      </c>
      <c r="D9" s="12"/>
      <c r="E9" s="4">
        <v>2</v>
      </c>
    </row>
    <row r="10" spans="1:5" ht="24" customHeight="1" x14ac:dyDescent="0.3">
      <c r="A10" s="3"/>
      <c r="B10" s="3"/>
      <c r="C10" s="11" t="s">
        <v>191</v>
      </c>
      <c r="D10" s="12"/>
      <c r="E10" s="4">
        <v>2</v>
      </c>
    </row>
    <row r="11" spans="1:5" ht="24" customHeight="1" x14ac:dyDescent="0.3">
      <c r="A11" s="3"/>
      <c r="B11" s="3"/>
      <c r="C11" s="11" t="s">
        <v>193</v>
      </c>
      <c r="D11" s="12"/>
      <c r="E11" s="4">
        <v>2</v>
      </c>
    </row>
    <row r="12" spans="1:5" ht="22.8" x14ac:dyDescent="0.3">
      <c r="A12" s="3"/>
      <c r="B12" s="3" t="s">
        <v>54</v>
      </c>
      <c r="C12" s="11" t="s">
        <v>194</v>
      </c>
      <c r="D12" s="12"/>
      <c r="E12" s="4">
        <v>5</v>
      </c>
    </row>
    <row r="13" spans="1:5" ht="22.8" x14ac:dyDescent="0.3">
      <c r="A13" s="3"/>
      <c r="B13" s="3" t="s">
        <v>59</v>
      </c>
      <c r="C13" s="11" t="s">
        <v>195</v>
      </c>
      <c r="D13" s="12"/>
      <c r="E13" s="4">
        <v>6</v>
      </c>
    </row>
    <row r="14" spans="1:5" ht="36" customHeight="1" x14ac:dyDescent="0.3">
      <c r="A14" s="3"/>
      <c r="B14" s="3" t="s">
        <v>64</v>
      </c>
      <c r="C14" s="11" t="s">
        <v>196</v>
      </c>
      <c r="D14" s="12"/>
      <c r="E14" s="4">
        <v>6</v>
      </c>
    </row>
    <row r="15" spans="1:5" ht="22.8" x14ac:dyDescent="0.3">
      <c r="A15" s="3"/>
      <c r="B15" s="3" t="s">
        <v>69</v>
      </c>
      <c r="C15" s="11" t="s">
        <v>197</v>
      </c>
      <c r="D15" s="12"/>
      <c r="E15" s="4">
        <v>6</v>
      </c>
    </row>
    <row r="16" spans="1:5" ht="36" customHeight="1" x14ac:dyDescent="0.3">
      <c r="A16" s="3"/>
      <c r="B16" s="3" t="s">
        <v>73</v>
      </c>
      <c r="C16" s="11" t="s">
        <v>198</v>
      </c>
      <c r="D16" s="12"/>
      <c r="E16" s="4">
        <v>3</v>
      </c>
    </row>
    <row r="17" spans="1:5" ht="24" customHeight="1" x14ac:dyDescent="0.3">
      <c r="A17" s="3"/>
      <c r="B17" s="3"/>
      <c r="C17" s="11" t="s">
        <v>199</v>
      </c>
      <c r="D17" s="12"/>
      <c r="E17" s="4">
        <v>2</v>
      </c>
    </row>
    <row r="18" spans="1:5" ht="24" customHeight="1" x14ac:dyDescent="0.3">
      <c r="A18" s="3"/>
      <c r="B18" s="3"/>
      <c r="C18" s="11" t="s">
        <v>200</v>
      </c>
      <c r="D18" s="12"/>
      <c r="E18" s="4">
        <v>2</v>
      </c>
    </row>
    <row r="19" spans="1:5" ht="24" customHeight="1" x14ac:dyDescent="0.3">
      <c r="A19" s="3"/>
      <c r="B19" s="3" t="s">
        <v>86</v>
      </c>
      <c r="C19" s="11" t="s">
        <v>201</v>
      </c>
      <c r="D19" s="12"/>
      <c r="E19" s="4">
        <v>2</v>
      </c>
    </row>
    <row r="20" spans="1:5" ht="24" customHeight="1" x14ac:dyDescent="0.3">
      <c r="A20" s="3"/>
      <c r="B20" s="3" t="s">
        <v>91</v>
      </c>
      <c r="C20" s="11" t="s">
        <v>202</v>
      </c>
      <c r="D20" s="12"/>
      <c r="E20" s="4">
        <v>2</v>
      </c>
    </row>
    <row r="21" spans="1:5" ht="24" customHeight="1" x14ac:dyDescent="0.3">
      <c r="A21" s="3"/>
      <c r="B21" s="3"/>
      <c r="C21" s="11" t="s">
        <v>203</v>
      </c>
      <c r="D21" s="12"/>
      <c r="E21" s="4">
        <v>3</v>
      </c>
    </row>
    <row r="22" spans="1:5" ht="52.8" x14ac:dyDescent="0.3">
      <c r="A22" s="2" t="s">
        <v>100</v>
      </c>
      <c r="B22" s="3" t="s">
        <v>101</v>
      </c>
      <c r="C22" s="11" t="s">
        <v>204</v>
      </c>
      <c r="D22" s="12"/>
      <c r="E22" s="4">
        <v>2</v>
      </c>
    </row>
    <row r="23" spans="1:5" ht="24" customHeight="1" x14ac:dyDescent="0.3">
      <c r="A23" s="3"/>
      <c r="B23" s="3" t="s">
        <v>15</v>
      </c>
      <c r="C23" s="13" t="s">
        <v>205</v>
      </c>
      <c r="D23" s="14"/>
      <c r="E23" s="4">
        <v>2</v>
      </c>
    </row>
    <row r="24" spans="1:5" ht="24" customHeight="1" x14ac:dyDescent="0.3">
      <c r="A24" s="3"/>
      <c r="B24" s="3"/>
      <c r="C24" s="13" t="s">
        <v>206</v>
      </c>
      <c r="D24" s="14"/>
      <c r="E24" s="4">
        <v>2</v>
      </c>
    </row>
    <row r="25" spans="1:5" ht="24" customHeight="1" x14ac:dyDescent="0.3">
      <c r="A25" s="3"/>
      <c r="B25" s="3"/>
      <c r="C25" s="13" t="s">
        <v>207</v>
      </c>
      <c r="D25" s="14"/>
      <c r="E25" s="4">
        <v>2</v>
      </c>
    </row>
    <row r="26" spans="1:5" ht="22.8" x14ac:dyDescent="0.3">
      <c r="A26" s="5"/>
      <c r="B26" s="5" t="s">
        <v>32</v>
      </c>
      <c r="C26" s="9" t="s">
        <v>216</v>
      </c>
      <c r="D26" s="10"/>
      <c r="E26" s="6">
        <v>0</v>
      </c>
    </row>
    <row r="27" spans="1:5" ht="24" customHeight="1" x14ac:dyDescent="0.3">
      <c r="A27" s="3"/>
      <c r="B27" s="3" t="s">
        <v>37</v>
      </c>
      <c r="C27" s="11" t="s">
        <v>208</v>
      </c>
      <c r="D27" s="12"/>
      <c r="E27" s="4">
        <v>2</v>
      </c>
    </row>
    <row r="28" spans="1:5" ht="24" customHeight="1" x14ac:dyDescent="0.3">
      <c r="A28" s="3"/>
      <c r="B28" s="3"/>
      <c r="C28" s="11" t="s">
        <v>209</v>
      </c>
      <c r="D28" s="12"/>
      <c r="E28" s="4">
        <v>2</v>
      </c>
    </row>
    <row r="29" spans="1:5" ht="22.8" x14ac:dyDescent="0.3">
      <c r="A29" s="3"/>
      <c r="B29" s="3" t="s">
        <v>54</v>
      </c>
      <c r="C29" s="13" t="s">
        <v>210</v>
      </c>
      <c r="D29" s="14"/>
      <c r="E29" s="4">
        <v>3</v>
      </c>
    </row>
    <row r="30" spans="1:5" ht="22.8" x14ac:dyDescent="0.3">
      <c r="A30" s="3"/>
      <c r="B30" s="3" t="s">
        <v>59</v>
      </c>
      <c r="C30" s="13" t="s">
        <v>211</v>
      </c>
      <c r="D30" s="14"/>
      <c r="E30" s="4">
        <v>3</v>
      </c>
    </row>
    <row r="31" spans="1:5" ht="22.8" x14ac:dyDescent="0.3">
      <c r="A31" s="3"/>
      <c r="B31" s="3" t="s">
        <v>64</v>
      </c>
      <c r="C31" s="13" t="s">
        <v>212</v>
      </c>
      <c r="D31" s="14"/>
      <c r="E31" s="4">
        <v>3</v>
      </c>
    </row>
    <row r="32" spans="1:5" ht="22.8" x14ac:dyDescent="0.3">
      <c r="A32" s="3"/>
      <c r="B32" s="3" t="s">
        <v>69</v>
      </c>
      <c r="C32" s="13" t="s">
        <v>213</v>
      </c>
      <c r="D32" s="14"/>
      <c r="E32" s="4">
        <v>3</v>
      </c>
    </row>
    <row r="33" spans="1:5" ht="22.8" x14ac:dyDescent="0.3">
      <c r="A33" s="3"/>
      <c r="B33" s="3" t="s">
        <v>145</v>
      </c>
      <c r="C33" s="11" t="s">
        <v>214</v>
      </c>
      <c r="D33" s="12"/>
      <c r="E33" s="4">
        <v>8</v>
      </c>
    </row>
    <row r="34" spans="1:5" ht="22.8" x14ac:dyDescent="0.3">
      <c r="A34" s="5"/>
      <c r="B34" s="5" t="s">
        <v>32</v>
      </c>
      <c r="C34" s="9" t="s">
        <v>215</v>
      </c>
      <c r="D34" s="10"/>
      <c r="E34" s="6">
        <v>0</v>
      </c>
    </row>
    <row r="35" spans="1:5" ht="24" customHeight="1" x14ac:dyDescent="0.3">
      <c r="A35" s="3"/>
      <c r="B35" s="3" t="s">
        <v>73</v>
      </c>
      <c r="C35" s="13" t="s">
        <v>217</v>
      </c>
      <c r="D35" s="14"/>
      <c r="E35" s="4">
        <v>3</v>
      </c>
    </row>
    <row r="36" spans="1:5" x14ac:dyDescent="0.3">
      <c r="A36" s="3"/>
      <c r="B36" s="3"/>
      <c r="C36" s="13" t="s">
        <v>219</v>
      </c>
      <c r="D36" s="14"/>
      <c r="E36" s="4">
        <v>2</v>
      </c>
    </row>
    <row r="37" spans="1:5" ht="24" customHeight="1" x14ac:dyDescent="0.3">
      <c r="A37" s="3"/>
      <c r="B37" s="3"/>
      <c r="C37" s="13" t="s">
        <v>218</v>
      </c>
      <c r="D37" s="14"/>
      <c r="E37" s="4">
        <v>3</v>
      </c>
    </row>
    <row r="38" spans="1:5" ht="22.8" x14ac:dyDescent="0.3">
      <c r="A38" s="5"/>
      <c r="B38" s="5" t="s">
        <v>32</v>
      </c>
      <c r="C38" s="9" t="s">
        <v>220</v>
      </c>
      <c r="D38" s="10"/>
      <c r="E38" s="6">
        <v>0</v>
      </c>
    </row>
    <row r="39" spans="1:5" ht="22.8" x14ac:dyDescent="0.3">
      <c r="A39" s="3"/>
      <c r="B39" s="3" t="s">
        <v>168</v>
      </c>
      <c r="C39" s="11" t="s">
        <v>221</v>
      </c>
      <c r="D39" s="12"/>
      <c r="E39" s="4">
        <v>3</v>
      </c>
    </row>
    <row r="40" spans="1:5" ht="24" customHeight="1" x14ac:dyDescent="0.3">
      <c r="A40" s="3"/>
      <c r="B40" s="3"/>
      <c r="C40" s="11" t="s">
        <v>222</v>
      </c>
      <c r="D40" s="12"/>
      <c r="E40" s="4">
        <v>2</v>
      </c>
    </row>
    <row r="41" spans="1:5" ht="22.8" x14ac:dyDescent="0.3">
      <c r="A41" s="5"/>
      <c r="B41" s="5" t="s">
        <v>32</v>
      </c>
      <c r="C41" s="9" t="s">
        <v>223</v>
      </c>
      <c r="D41" s="10"/>
      <c r="E41" s="6">
        <v>0</v>
      </c>
    </row>
    <row r="43" spans="1:5" ht="15.6" x14ac:dyDescent="0.3">
      <c r="A43" s="7" t="s">
        <v>180</v>
      </c>
      <c r="E43" s="8">
        <f>SUM(E2:E41)</f>
        <v>100</v>
      </c>
    </row>
  </sheetData>
  <mergeCells count="41">
    <mergeCell ref="C11:D11"/>
    <mergeCell ref="C12:D12"/>
    <mergeCell ref="C6:D6"/>
    <mergeCell ref="C7:D7"/>
    <mergeCell ref="C8:D8"/>
    <mergeCell ref="C9:D9"/>
    <mergeCell ref="C10:D10"/>
    <mergeCell ref="C1:D1"/>
    <mergeCell ref="C2:D2"/>
    <mergeCell ref="C3:D3"/>
    <mergeCell ref="C4:D4"/>
    <mergeCell ref="C5:D5"/>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8:D38"/>
    <mergeCell ref="C39:D39"/>
    <mergeCell ref="C40:D40"/>
    <mergeCell ref="C41:D41"/>
    <mergeCell ref="C33:D33"/>
    <mergeCell ref="C34:D34"/>
    <mergeCell ref="C35:D35"/>
    <mergeCell ref="C36:D36"/>
    <mergeCell ref="C37:D37"/>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43F6A-EEE4-47B9-975C-A9F9842519AC}">
  <dimension ref="A1:F15"/>
  <sheetViews>
    <sheetView tabSelected="1" workbookViewId="0">
      <selection activeCell="C15" sqref="C15"/>
    </sheetView>
  </sheetViews>
  <sheetFormatPr defaultRowHeight="14.4" x14ac:dyDescent="0.3"/>
  <cols>
    <col min="2" max="2" width="10.44140625" bestFit="1" customWidth="1"/>
  </cols>
  <sheetData>
    <row r="1" spans="1:6" x14ac:dyDescent="0.3">
      <c r="A1" t="s">
        <v>224</v>
      </c>
    </row>
    <row r="4" spans="1:6" x14ac:dyDescent="0.3">
      <c r="C4" t="s">
        <v>228</v>
      </c>
      <c r="E4" t="s">
        <v>229</v>
      </c>
    </row>
    <row r="5" spans="1:6" x14ac:dyDescent="0.3">
      <c r="A5" t="s">
        <v>225</v>
      </c>
      <c r="B5" s="20">
        <v>129679</v>
      </c>
      <c r="C5" s="21">
        <v>1426469</v>
      </c>
      <c r="E5" t="s">
        <v>230</v>
      </c>
      <c r="F5" s="21">
        <v>15561</v>
      </c>
    </row>
    <row r="6" spans="1:6" x14ac:dyDescent="0.3">
      <c r="A6" t="s">
        <v>226</v>
      </c>
      <c r="B6" s="21">
        <v>64840</v>
      </c>
      <c r="C6" s="21">
        <v>713240</v>
      </c>
    </row>
    <row r="7" spans="1:6" x14ac:dyDescent="0.3">
      <c r="A7" t="s">
        <v>227</v>
      </c>
      <c r="B7" s="21">
        <v>26130</v>
      </c>
      <c r="C7" s="21">
        <v>287430</v>
      </c>
      <c r="E7" t="s">
        <v>231</v>
      </c>
      <c r="F7" s="21">
        <v>30492</v>
      </c>
    </row>
    <row r="8" spans="1:6" x14ac:dyDescent="0.3">
      <c r="B8" s="21">
        <v>220649</v>
      </c>
      <c r="F8" s="21">
        <f>SUM(F5,F7)</f>
        <v>46053</v>
      </c>
    </row>
    <row r="10" spans="1:6" x14ac:dyDescent="0.3">
      <c r="A10" t="s">
        <v>232</v>
      </c>
    </row>
    <row r="11" spans="1:6" x14ac:dyDescent="0.3">
      <c r="C11" t="s">
        <v>228</v>
      </c>
      <c r="E11" t="s">
        <v>229</v>
      </c>
    </row>
    <row r="12" spans="1:6" x14ac:dyDescent="0.3">
      <c r="A12" t="s">
        <v>225</v>
      </c>
      <c r="B12" s="21">
        <v>138758</v>
      </c>
      <c r="C12" s="21">
        <v>1426469</v>
      </c>
      <c r="E12" t="s">
        <v>230</v>
      </c>
      <c r="F12" s="21">
        <v>16651</v>
      </c>
    </row>
    <row r="13" spans="1:6" x14ac:dyDescent="0.3">
      <c r="A13" t="s">
        <v>226</v>
      </c>
      <c r="B13" s="21">
        <v>69379</v>
      </c>
      <c r="C13" s="21">
        <v>713240</v>
      </c>
    </row>
    <row r="14" spans="1:6" x14ac:dyDescent="0.3">
      <c r="A14" t="s">
        <v>227</v>
      </c>
      <c r="B14" s="21">
        <v>26964</v>
      </c>
      <c r="C14" s="21">
        <v>287430</v>
      </c>
      <c r="E14" t="s">
        <v>231</v>
      </c>
      <c r="F14" s="21">
        <v>35002</v>
      </c>
    </row>
    <row r="15" spans="1:6" x14ac:dyDescent="0.3">
      <c r="B15" s="21">
        <f>SUM(B12:B14)</f>
        <v>235101</v>
      </c>
      <c r="F15" s="21">
        <f>SUM(F12,F14)</f>
        <v>51653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7"/>
  <sheetViews>
    <sheetView zoomScaleNormal="100" workbookViewId="0">
      <pane ySplit="5" topLeftCell="A6" activePane="bottomLeft" state="frozen"/>
      <selection pane="bottomLeft"/>
    </sheetView>
  </sheetViews>
  <sheetFormatPr defaultColWidth="8.6640625" defaultRowHeight="14.4" x14ac:dyDescent="0.3"/>
  <cols>
    <col min="1" max="2" width="22" customWidth="1"/>
    <col min="3" max="3" width="30" customWidth="1"/>
    <col min="4" max="4" width="38" customWidth="1"/>
    <col min="5" max="5" width="8" customWidth="1"/>
    <col min="6" max="6" width="72" customWidth="1"/>
    <col min="7" max="7" width="48" customWidth="1"/>
  </cols>
  <sheetData>
    <row r="1" spans="1:7" ht="17.399999999999999" x14ac:dyDescent="0.3">
      <c r="A1" s="17">
        <v>1</v>
      </c>
      <c r="B1" s="17"/>
      <c r="C1" s="17"/>
      <c r="D1" s="17"/>
      <c r="E1" s="17"/>
      <c r="F1" s="17"/>
      <c r="G1" s="17"/>
    </row>
    <row r="2" spans="1:7" x14ac:dyDescent="0.3">
      <c r="A2" s="18" t="s">
        <v>0</v>
      </c>
      <c r="B2" s="18"/>
      <c r="C2" s="18"/>
      <c r="D2" s="18"/>
      <c r="E2" s="18"/>
      <c r="F2" s="18"/>
      <c r="G2" s="18"/>
    </row>
    <row r="3" spans="1:7" ht="22.35" customHeight="1" x14ac:dyDescent="0.3">
      <c r="A3" s="19" t="s">
        <v>1</v>
      </c>
      <c r="B3" s="19"/>
      <c r="C3" s="19"/>
      <c r="D3" s="19"/>
      <c r="E3" s="19"/>
      <c r="F3" s="19"/>
      <c r="G3" s="19"/>
    </row>
    <row r="5" spans="1:7" ht="26.4" x14ac:dyDescent="0.3">
      <c r="A5" s="1" t="s">
        <v>2</v>
      </c>
      <c r="B5" s="1" t="s">
        <v>3</v>
      </c>
      <c r="C5" s="1" t="s">
        <v>4</v>
      </c>
      <c r="D5" s="1" t="s">
        <v>5</v>
      </c>
      <c r="E5" s="1" t="s">
        <v>6</v>
      </c>
      <c r="F5" s="1" t="s">
        <v>7</v>
      </c>
      <c r="G5" s="1" t="s">
        <v>8</v>
      </c>
    </row>
    <row r="6" spans="1:7" ht="91.2" x14ac:dyDescent="0.3">
      <c r="A6" s="2" t="s">
        <v>181</v>
      </c>
      <c r="B6" s="3" t="s">
        <v>10</v>
      </c>
      <c r="C6" s="3" t="s">
        <v>11</v>
      </c>
      <c r="D6" s="3" t="s">
        <v>12</v>
      </c>
      <c r="E6" s="4">
        <v>3</v>
      </c>
      <c r="F6" s="3" t="s">
        <v>13</v>
      </c>
      <c r="G6" s="3" t="s">
        <v>14</v>
      </c>
    </row>
    <row r="7" spans="1:7" ht="45.6" x14ac:dyDescent="0.3">
      <c r="A7" s="3"/>
      <c r="B7" s="3" t="s">
        <v>15</v>
      </c>
      <c r="C7" s="3" t="s">
        <v>16</v>
      </c>
      <c r="D7" s="3" t="s">
        <v>17</v>
      </c>
      <c r="E7" s="4">
        <v>2</v>
      </c>
      <c r="F7" s="3" t="s">
        <v>18</v>
      </c>
      <c r="G7" s="3" t="s">
        <v>19</v>
      </c>
    </row>
    <row r="8" spans="1:7" ht="34.200000000000003" x14ac:dyDescent="0.3">
      <c r="A8" s="3"/>
      <c r="B8" s="3"/>
      <c r="C8" s="3" t="s">
        <v>20</v>
      </c>
      <c r="D8" s="3" t="s">
        <v>21</v>
      </c>
      <c r="E8" s="4">
        <v>2</v>
      </c>
      <c r="F8" s="3" t="s">
        <v>22</v>
      </c>
      <c r="G8" s="3" t="s">
        <v>23</v>
      </c>
    </row>
    <row r="9" spans="1:7" ht="34.200000000000003" x14ac:dyDescent="0.3">
      <c r="A9" s="3"/>
      <c r="B9" s="3"/>
      <c r="C9" s="3" t="s">
        <v>24</v>
      </c>
      <c r="D9" s="3" t="s">
        <v>25</v>
      </c>
      <c r="E9" s="4">
        <v>2</v>
      </c>
      <c r="F9" s="3" t="s">
        <v>26</v>
      </c>
      <c r="G9" s="3" t="s">
        <v>27</v>
      </c>
    </row>
    <row r="10" spans="1:7" ht="34.200000000000003" x14ac:dyDescent="0.3">
      <c r="A10" s="3"/>
      <c r="B10" s="3"/>
      <c r="C10" s="3" t="s">
        <v>28</v>
      </c>
      <c r="D10" s="3" t="s">
        <v>29</v>
      </c>
      <c r="E10" s="4">
        <v>2</v>
      </c>
      <c r="F10" s="3" t="s">
        <v>30</v>
      </c>
      <c r="G10" s="3" t="s">
        <v>31</v>
      </c>
    </row>
    <row r="11" spans="1:7" ht="68.400000000000006" x14ac:dyDescent="0.3">
      <c r="A11" s="5"/>
      <c r="B11" s="5" t="s">
        <v>32</v>
      </c>
      <c r="C11" s="5" t="s">
        <v>33</v>
      </c>
      <c r="D11" s="5" t="s">
        <v>34</v>
      </c>
      <c r="E11" s="6">
        <v>0</v>
      </c>
      <c r="F11" s="5" t="s">
        <v>35</v>
      </c>
      <c r="G11" s="5" t="s">
        <v>36</v>
      </c>
    </row>
    <row r="12" spans="1:7" ht="22.8" x14ac:dyDescent="0.3">
      <c r="A12" s="3"/>
      <c r="B12" s="3" t="s">
        <v>37</v>
      </c>
      <c r="C12" s="3" t="s">
        <v>38</v>
      </c>
      <c r="D12" s="3" t="s">
        <v>39</v>
      </c>
      <c r="E12" s="4">
        <v>1</v>
      </c>
      <c r="F12" s="3" t="s">
        <v>40</v>
      </c>
      <c r="G12" s="3" t="s">
        <v>41</v>
      </c>
    </row>
    <row r="13" spans="1:7" ht="34.200000000000003" x14ac:dyDescent="0.3">
      <c r="A13" s="3"/>
      <c r="B13" s="3"/>
      <c r="C13" s="3" t="s">
        <v>42</v>
      </c>
      <c r="D13" s="3" t="s">
        <v>43</v>
      </c>
      <c r="E13" s="4">
        <v>2</v>
      </c>
      <c r="F13" s="3" t="s">
        <v>44</v>
      </c>
      <c r="G13" s="3" t="s">
        <v>45</v>
      </c>
    </row>
    <row r="14" spans="1:7" ht="68.400000000000006" x14ac:dyDescent="0.3">
      <c r="A14" s="3"/>
      <c r="B14" s="3"/>
      <c r="C14" s="3" t="s">
        <v>46</v>
      </c>
      <c r="D14" s="3" t="s">
        <v>47</v>
      </c>
      <c r="E14" s="4">
        <v>2</v>
      </c>
      <c r="F14" s="3" t="s">
        <v>48</v>
      </c>
      <c r="G14" s="3" t="s">
        <v>49</v>
      </c>
    </row>
    <row r="15" spans="1:7" ht="34.200000000000003" x14ac:dyDescent="0.3">
      <c r="A15" s="3"/>
      <c r="B15" s="3"/>
      <c r="C15" s="3" t="s">
        <v>50</v>
      </c>
      <c r="D15" s="3" t="s">
        <v>51</v>
      </c>
      <c r="E15" s="4">
        <v>2</v>
      </c>
      <c r="F15" s="3" t="s">
        <v>52</v>
      </c>
      <c r="G15" s="3" t="s">
        <v>53</v>
      </c>
    </row>
    <row r="16" spans="1:7" ht="102.6" x14ac:dyDescent="0.3">
      <c r="A16" s="3"/>
      <c r="B16" s="3" t="s">
        <v>54</v>
      </c>
      <c r="C16" s="3" t="s">
        <v>55</v>
      </c>
      <c r="D16" s="3" t="s">
        <v>56</v>
      </c>
      <c r="E16" s="4">
        <v>5</v>
      </c>
      <c r="F16" s="3" t="s">
        <v>57</v>
      </c>
      <c r="G16" s="3" t="s">
        <v>58</v>
      </c>
    </row>
    <row r="17" spans="1:7" ht="57" x14ac:dyDescent="0.3">
      <c r="A17" s="3"/>
      <c r="B17" s="3" t="s">
        <v>59</v>
      </c>
      <c r="C17" s="3" t="s">
        <v>60</v>
      </c>
      <c r="D17" s="3" t="s">
        <v>61</v>
      </c>
      <c r="E17" s="4">
        <v>6</v>
      </c>
      <c r="F17" s="3" t="s">
        <v>62</v>
      </c>
      <c r="G17" s="3" t="s">
        <v>63</v>
      </c>
    </row>
    <row r="18" spans="1:7" ht="57" x14ac:dyDescent="0.3">
      <c r="A18" s="3"/>
      <c r="B18" s="3" t="s">
        <v>64</v>
      </c>
      <c r="C18" s="3" t="s">
        <v>65</v>
      </c>
      <c r="D18" s="3" t="s">
        <v>66</v>
      </c>
      <c r="E18" s="4">
        <v>6</v>
      </c>
      <c r="F18" s="3" t="s">
        <v>67</v>
      </c>
      <c r="G18" s="3" t="s">
        <v>68</v>
      </c>
    </row>
    <row r="19" spans="1:7" ht="91.2" x14ac:dyDescent="0.3">
      <c r="A19" s="3"/>
      <c r="B19" s="3" t="s">
        <v>69</v>
      </c>
      <c r="C19" s="3" t="s">
        <v>70</v>
      </c>
      <c r="D19" s="3" t="s">
        <v>71</v>
      </c>
      <c r="E19" s="4">
        <v>6</v>
      </c>
      <c r="F19" s="3" t="s">
        <v>182</v>
      </c>
      <c r="G19" s="3" t="s">
        <v>72</v>
      </c>
    </row>
    <row r="20" spans="1:7" ht="45.6" x14ac:dyDescent="0.3">
      <c r="A20" s="3"/>
      <c r="B20" s="3" t="s">
        <v>73</v>
      </c>
      <c r="C20" s="3" t="s">
        <v>74</v>
      </c>
      <c r="D20" s="3" t="s">
        <v>75</v>
      </c>
      <c r="E20" s="4">
        <v>3</v>
      </c>
      <c r="F20" s="3" t="s">
        <v>76</v>
      </c>
      <c r="G20" s="3" t="s">
        <v>77</v>
      </c>
    </row>
    <row r="21" spans="1:7" ht="34.200000000000003" x14ac:dyDescent="0.3">
      <c r="A21" s="3"/>
      <c r="B21" s="3"/>
      <c r="C21" s="3" t="s">
        <v>78</v>
      </c>
      <c r="D21" s="3" t="s">
        <v>79</v>
      </c>
      <c r="E21" s="4">
        <v>2</v>
      </c>
      <c r="F21" s="3" t="s">
        <v>80</v>
      </c>
      <c r="G21" s="3" t="s">
        <v>81</v>
      </c>
    </row>
    <row r="22" spans="1:7" ht="34.200000000000003" x14ac:dyDescent="0.3">
      <c r="A22" s="3"/>
      <c r="B22" s="3"/>
      <c r="C22" s="3" t="s">
        <v>82</v>
      </c>
      <c r="D22" s="3" t="s">
        <v>83</v>
      </c>
      <c r="E22" s="4">
        <v>2</v>
      </c>
      <c r="F22" s="3" t="s">
        <v>84</v>
      </c>
      <c r="G22" s="3" t="s">
        <v>85</v>
      </c>
    </row>
    <row r="23" spans="1:7" ht="34.200000000000003" x14ac:dyDescent="0.3">
      <c r="A23" s="3"/>
      <c r="B23" s="3" t="s">
        <v>86</v>
      </c>
      <c r="C23" s="3" t="s">
        <v>87</v>
      </c>
      <c r="D23" s="3" t="s">
        <v>88</v>
      </c>
      <c r="E23" s="4">
        <v>2</v>
      </c>
      <c r="F23" s="3" t="s">
        <v>89</v>
      </c>
      <c r="G23" s="3" t="s">
        <v>90</v>
      </c>
    </row>
    <row r="24" spans="1:7" ht="68.400000000000006" x14ac:dyDescent="0.3">
      <c r="A24" s="3"/>
      <c r="B24" s="3" t="s">
        <v>91</v>
      </c>
      <c r="C24" s="3" t="s">
        <v>92</v>
      </c>
      <c r="D24" s="3" t="s">
        <v>93</v>
      </c>
      <c r="E24" s="4">
        <v>2</v>
      </c>
      <c r="F24" s="3" t="s">
        <v>94</v>
      </c>
      <c r="G24" s="3" t="s">
        <v>95</v>
      </c>
    </row>
    <row r="25" spans="1:7" ht="68.400000000000006" x14ac:dyDescent="0.3">
      <c r="A25" s="3"/>
      <c r="B25" s="3"/>
      <c r="C25" s="3" t="s">
        <v>96</v>
      </c>
      <c r="D25" s="3" t="s">
        <v>97</v>
      </c>
      <c r="E25" s="4">
        <v>3</v>
      </c>
      <c r="F25" s="3" t="s">
        <v>98</v>
      </c>
      <c r="G25" s="3" t="s">
        <v>99</v>
      </c>
    </row>
    <row r="26" spans="1:7" ht="45.6" x14ac:dyDescent="0.3">
      <c r="A26" s="2" t="s">
        <v>183</v>
      </c>
      <c r="B26" s="3" t="s">
        <v>101</v>
      </c>
      <c r="C26" s="3" t="s">
        <v>102</v>
      </c>
      <c r="D26" s="3" t="s">
        <v>103</v>
      </c>
      <c r="E26" s="4">
        <v>2</v>
      </c>
      <c r="F26" s="3" t="s">
        <v>104</v>
      </c>
      <c r="G26" s="3" t="s">
        <v>105</v>
      </c>
    </row>
    <row r="27" spans="1:7" ht="34.200000000000003" x14ac:dyDescent="0.3">
      <c r="A27" s="3"/>
      <c r="B27" s="3" t="s">
        <v>15</v>
      </c>
      <c r="C27" s="3" t="s">
        <v>106</v>
      </c>
      <c r="D27" s="3" t="s">
        <v>107</v>
      </c>
      <c r="E27" s="4">
        <v>2</v>
      </c>
      <c r="F27" s="3" t="s">
        <v>108</v>
      </c>
      <c r="G27" s="3" t="s">
        <v>109</v>
      </c>
    </row>
    <row r="28" spans="1:7" ht="34.200000000000003" x14ac:dyDescent="0.3">
      <c r="A28" s="3"/>
      <c r="B28" s="3"/>
      <c r="C28" s="3" t="s">
        <v>24</v>
      </c>
      <c r="D28" s="3" t="s">
        <v>110</v>
      </c>
      <c r="E28" s="4">
        <v>2</v>
      </c>
      <c r="F28" s="3" t="s">
        <v>111</v>
      </c>
      <c r="G28" s="3" t="s">
        <v>112</v>
      </c>
    </row>
    <row r="29" spans="1:7" ht="34.200000000000003" x14ac:dyDescent="0.3">
      <c r="A29" s="3"/>
      <c r="B29" s="3"/>
      <c r="C29" s="3" t="s">
        <v>113</v>
      </c>
      <c r="D29" s="3" t="s">
        <v>114</v>
      </c>
      <c r="E29" s="4">
        <v>2</v>
      </c>
      <c r="F29" s="3" t="s">
        <v>115</v>
      </c>
      <c r="G29" s="3" t="s">
        <v>116</v>
      </c>
    </row>
    <row r="30" spans="1:7" ht="22.8" x14ac:dyDescent="0.3">
      <c r="A30" s="5"/>
      <c r="B30" s="5" t="s">
        <v>32</v>
      </c>
      <c r="C30" s="5" t="s">
        <v>117</v>
      </c>
      <c r="D30" s="5" t="s">
        <v>118</v>
      </c>
      <c r="E30" s="6">
        <v>0</v>
      </c>
      <c r="F30" s="5" t="s">
        <v>119</v>
      </c>
      <c r="G30" s="5" t="s">
        <v>120</v>
      </c>
    </row>
    <row r="31" spans="1:7" ht="34.200000000000003" x14ac:dyDescent="0.3">
      <c r="A31" s="3"/>
      <c r="B31" s="3" t="s">
        <v>37</v>
      </c>
      <c r="C31" s="3" t="s">
        <v>121</v>
      </c>
      <c r="D31" s="3" t="s">
        <v>122</v>
      </c>
      <c r="E31" s="4">
        <v>2</v>
      </c>
      <c r="F31" s="3" t="s">
        <v>123</v>
      </c>
      <c r="G31" s="3" t="s">
        <v>124</v>
      </c>
    </row>
    <row r="32" spans="1:7" ht="34.200000000000003" x14ac:dyDescent="0.3">
      <c r="A32" s="3"/>
      <c r="B32" s="3"/>
      <c r="C32" s="3" t="s">
        <v>125</v>
      </c>
      <c r="D32" s="3" t="s">
        <v>126</v>
      </c>
      <c r="E32" s="4">
        <v>2</v>
      </c>
      <c r="F32" s="3" t="s">
        <v>127</v>
      </c>
      <c r="G32" s="3" t="s">
        <v>128</v>
      </c>
    </row>
    <row r="33" spans="1:7" ht="79.8" x14ac:dyDescent="0.3">
      <c r="A33" s="3"/>
      <c r="B33" s="3" t="s">
        <v>54</v>
      </c>
      <c r="C33" s="3" t="s">
        <v>129</v>
      </c>
      <c r="D33" s="3" t="s">
        <v>130</v>
      </c>
      <c r="E33" s="4">
        <v>3</v>
      </c>
      <c r="F33" s="3" t="s">
        <v>131</v>
      </c>
      <c r="G33" s="3" t="s">
        <v>132</v>
      </c>
    </row>
    <row r="34" spans="1:7" ht="34.200000000000003" x14ac:dyDescent="0.3">
      <c r="A34" s="3"/>
      <c r="B34" s="3" t="s">
        <v>59</v>
      </c>
      <c r="C34" s="3" t="s">
        <v>133</v>
      </c>
      <c r="D34" s="3" t="s">
        <v>134</v>
      </c>
      <c r="E34" s="4">
        <v>3</v>
      </c>
      <c r="F34" s="3" t="s">
        <v>135</v>
      </c>
      <c r="G34" s="3" t="s">
        <v>136</v>
      </c>
    </row>
    <row r="35" spans="1:7" ht="45.6" x14ac:dyDescent="0.3">
      <c r="A35" s="3"/>
      <c r="B35" s="3" t="s">
        <v>64</v>
      </c>
      <c r="C35" s="3" t="s">
        <v>137</v>
      </c>
      <c r="D35" s="3" t="s">
        <v>138</v>
      </c>
      <c r="E35" s="4">
        <v>3</v>
      </c>
      <c r="F35" s="3" t="s">
        <v>139</v>
      </c>
      <c r="G35" s="3" t="s">
        <v>140</v>
      </c>
    </row>
    <row r="36" spans="1:7" ht="45.6" x14ac:dyDescent="0.3">
      <c r="A36" s="3"/>
      <c r="B36" s="3" t="s">
        <v>69</v>
      </c>
      <c r="C36" s="3" t="s">
        <v>141</v>
      </c>
      <c r="D36" s="3" t="s">
        <v>142</v>
      </c>
      <c r="E36" s="4">
        <v>3</v>
      </c>
      <c r="F36" s="3" t="s">
        <v>143</v>
      </c>
      <c r="G36" s="3" t="s">
        <v>144</v>
      </c>
    </row>
    <row r="37" spans="1:7" ht="68.400000000000006" x14ac:dyDescent="0.3">
      <c r="A37" s="3"/>
      <c r="B37" s="3" t="s">
        <v>145</v>
      </c>
      <c r="C37" s="3" t="s">
        <v>146</v>
      </c>
      <c r="D37" s="3" t="s">
        <v>147</v>
      </c>
      <c r="E37" s="4">
        <v>8</v>
      </c>
      <c r="F37" s="3" t="s">
        <v>148</v>
      </c>
      <c r="G37" s="3" t="s">
        <v>149</v>
      </c>
    </row>
    <row r="38" spans="1:7" ht="22.8" x14ac:dyDescent="0.3">
      <c r="A38" s="5"/>
      <c r="B38" s="5" t="s">
        <v>32</v>
      </c>
      <c r="C38" s="5" t="s">
        <v>150</v>
      </c>
      <c r="D38" s="5" t="s">
        <v>151</v>
      </c>
      <c r="E38" s="6">
        <v>0</v>
      </c>
      <c r="F38" s="5" t="s">
        <v>152</v>
      </c>
      <c r="G38" s="5" t="s">
        <v>120</v>
      </c>
    </row>
    <row r="39" spans="1:7" ht="34.200000000000003" x14ac:dyDescent="0.3">
      <c r="A39" s="3"/>
      <c r="B39" s="3" t="s">
        <v>73</v>
      </c>
      <c r="C39" s="3" t="s">
        <v>153</v>
      </c>
      <c r="D39" s="3" t="s">
        <v>154</v>
      </c>
      <c r="E39" s="4">
        <v>3</v>
      </c>
      <c r="F39" s="3" t="s">
        <v>155</v>
      </c>
      <c r="G39" s="3" t="s">
        <v>156</v>
      </c>
    </row>
    <row r="40" spans="1:7" ht="34.200000000000003" x14ac:dyDescent="0.3">
      <c r="A40" s="3"/>
      <c r="B40" s="3"/>
      <c r="C40" s="3" t="s">
        <v>157</v>
      </c>
      <c r="D40" s="3" t="s">
        <v>158</v>
      </c>
      <c r="E40" s="4">
        <v>2</v>
      </c>
      <c r="F40" s="3" t="s">
        <v>159</v>
      </c>
      <c r="G40" s="3" t="s">
        <v>160</v>
      </c>
    </row>
    <row r="41" spans="1:7" ht="45.6" x14ac:dyDescent="0.3">
      <c r="A41" s="3"/>
      <c r="B41" s="3"/>
      <c r="C41" s="3" t="s">
        <v>161</v>
      </c>
      <c r="D41" s="3" t="s">
        <v>162</v>
      </c>
      <c r="E41" s="4">
        <v>3</v>
      </c>
      <c r="F41" s="3" t="s">
        <v>163</v>
      </c>
      <c r="G41" s="3" t="s">
        <v>164</v>
      </c>
    </row>
    <row r="42" spans="1:7" ht="22.8" x14ac:dyDescent="0.3">
      <c r="A42" s="5"/>
      <c r="B42" s="5" t="s">
        <v>32</v>
      </c>
      <c r="C42" s="5" t="s">
        <v>165</v>
      </c>
      <c r="D42" s="5" t="s">
        <v>166</v>
      </c>
      <c r="E42" s="6">
        <v>0</v>
      </c>
      <c r="F42" s="5" t="s">
        <v>167</v>
      </c>
      <c r="G42" s="5" t="s">
        <v>120</v>
      </c>
    </row>
    <row r="43" spans="1:7" ht="68.400000000000006" x14ac:dyDescent="0.3">
      <c r="A43" s="3"/>
      <c r="B43" s="3" t="s">
        <v>168</v>
      </c>
      <c r="C43" s="3" t="s">
        <v>169</v>
      </c>
      <c r="D43" s="3" t="s">
        <v>170</v>
      </c>
      <c r="E43" s="4">
        <v>3</v>
      </c>
      <c r="F43" s="3" t="s">
        <v>171</v>
      </c>
      <c r="G43" s="3" t="s">
        <v>172</v>
      </c>
    </row>
    <row r="44" spans="1:7" ht="45.6" x14ac:dyDescent="0.3">
      <c r="A44" s="3"/>
      <c r="B44" s="3"/>
      <c r="C44" s="3" t="s">
        <v>173</v>
      </c>
      <c r="D44" s="3" t="s">
        <v>174</v>
      </c>
      <c r="E44" s="4">
        <v>2</v>
      </c>
      <c r="F44" s="3" t="s">
        <v>175</v>
      </c>
      <c r="G44" s="3" t="s">
        <v>176</v>
      </c>
    </row>
    <row r="45" spans="1:7" ht="34.200000000000003" x14ac:dyDescent="0.3">
      <c r="A45" s="5"/>
      <c r="B45" s="5" t="s">
        <v>32</v>
      </c>
      <c r="C45" s="5" t="s">
        <v>177</v>
      </c>
      <c r="D45" s="5" t="s">
        <v>178</v>
      </c>
      <c r="E45" s="6">
        <v>0</v>
      </c>
      <c r="F45" s="5" t="s">
        <v>179</v>
      </c>
      <c r="G45" s="5" t="s">
        <v>120</v>
      </c>
    </row>
    <row r="47" spans="1:7" ht="15.6" x14ac:dyDescent="0.3">
      <c r="A47" s="7" t="s">
        <v>180</v>
      </c>
      <c r="E47" s="8">
        <f>SUM(E6:E45)</f>
        <v>100</v>
      </c>
    </row>
  </sheetData>
  <mergeCells count="3">
    <mergeCell ref="A1:G1"/>
    <mergeCell ref="A2:G2"/>
    <mergeCell ref="A3:G3"/>
  </mergeCells>
  <pageMargins left="0.75" right="0.75" top="1" bottom="1" header="0.511811023622047" footer="0.511811023622047"/>
  <pageSetup paperSize="9" orientation="portrait" horizontalDpi="300" verticalDpi="300"/>
</worksheet>
</file>

<file path=docMetadata/LabelInfo.xml><?xml version="1.0" encoding="utf-8"?>
<clbl:labelList xmlns:clbl="http://schemas.microsoft.com/office/2020/mipLabelMetadata">
  <clbl:label id="{c6b8addf-0b3b-488d-8eca-906be3ac452f}" enabled="1" method="Standard" siteId="{d1e23d19-ded6-4d66-850c-0d4f35bf2edc}"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Grader Rubric </vt:lpstr>
      <vt:lpstr>Sheet1</vt:lpstr>
      <vt:lpstr>Grader Rubric V1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Ashwin S</cp:lastModifiedBy>
  <cp:revision>0</cp:revision>
  <dcterms:created xsi:type="dcterms:W3CDTF">2026-04-06T18:27:19Z</dcterms:created>
  <dcterms:modified xsi:type="dcterms:W3CDTF">2026-05-14T16:17:53Z</dcterms:modified>
  <cp:category/>
  <cp:contentStatus/>
</cp:coreProperties>
</file>